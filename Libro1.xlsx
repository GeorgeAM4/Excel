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tarea\"/>
    </mc:Choice>
  </mc:AlternateContent>
  <xr:revisionPtr revIDLastSave="0" documentId="8_{3A2D5883-9DA6-4C06-B2D3-D358742088BC}" xr6:coauthVersionLast="47" xr6:coauthVersionMax="47" xr10:uidLastSave="{00000000-0000-0000-0000-000000000000}"/>
  <bookViews>
    <workbookView xWindow="-120" yWindow="450" windowWidth="29040" windowHeight="15270" xr2:uid="{B5C975E1-8447-4860-8162-D4ACCF572494}"/>
  </bookViews>
  <sheets>
    <sheet name="Hoja1" sheetId="1" r:id="rId1"/>
  </sheets>
  <definedNames>
    <definedName name="SegmentaciónDeDatos_EQUIPO">#N/A</definedName>
    <definedName name="SegmentaciónDeDatos_ESTAD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</calcChain>
</file>

<file path=xl/sharedStrings.xml><?xml version="1.0" encoding="utf-8"?>
<sst xmlns="http://schemas.openxmlformats.org/spreadsheetml/2006/main" count="156" uniqueCount="96">
  <si>
    <t>ID</t>
  </si>
  <si>
    <t>LAB1-001</t>
  </si>
  <si>
    <t>LAB1-002</t>
  </si>
  <si>
    <t>LAB1-003</t>
  </si>
  <si>
    <t>LAB1-004</t>
  </si>
  <si>
    <t>LAB1-005</t>
  </si>
  <si>
    <t>LAB1-006</t>
  </si>
  <si>
    <t>LAB1-007</t>
  </si>
  <si>
    <t>LAB1-008</t>
  </si>
  <si>
    <t>LAB1-009</t>
  </si>
  <si>
    <t>LAB1-010</t>
  </si>
  <si>
    <t>LAB1-011</t>
  </si>
  <si>
    <t>LAB1-012</t>
  </si>
  <si>
    <t>LAB1-013</t>
  </si>
  <si>
    <t>LAB1-014</t>
  </si>
  <si>
    <t>LAB1-015</t>
  </si>
  <si>
    <t>LAB1-016</t>
  </si>
  <si>
    <t>LAB1-017</t>
  </si>
  <si>
    <t>LAB1-018</t>
  </si>
  <si>
    <t>LAB1-019</t>
  </si>
  <si>
    <t>LAB1-020</t>
  </si>
  <si>
    <t>LAB1-021</t>
  </si>
  <si>
    <t>LAB1-022</t>
  </si>
  <si>
    <t>LAB1-023</t>
  </si>
  <si>
    <t>LAB1-024</t>
  </si>
  <si>
    <t>LAB1-025</t>
  </si>
  <si>
    <t>LAB1-026</t>
  </si>
  <si>
    <t>LAB1-027</t>
  </si>
  <si>
    <t>LAB1-028</t>
  </si>
  <si>
    <t>LAB1-029</t>
  </si>
  <si>
    <t>LAB1-030</t>
  </si>
  <si>
    <t>EQUIPO</t>
  </si>
  <si>
    <t>MARCA</t>
  </si>
  <si>
    <t>MODELO</t>
  </si>
  <si>
    <t>laptop</t>
  </si>
  <si>
    <t>pc</t>
  </si>
  <si>
    <t>monitor</t>
  </si>
  <si>
    <t>impresora</t>
  </si>
  <si>
    <t>router</t>
  </si>
  <si>
    <t>switch</t>
  </si>
  <si>
    <t>tablet</t>
  </si>
  <si>
    <t>smartphone</t>
  </si>
  <si>
    <t>Dell</t>
  </si>
  <si>
    <t>HP</t>
  </si>
  <si>
    <t>Lenovo</t>
  </si>
  <si>
    <t>Samsung</t>
  </si>
  <si>
    <t>Epson</t>
  </si>
  <si>
    <t>Cisco</t>
  </si>
  <si>
    <t>Tp-Limk</t>
  </si>
  <si>
    <t>Asus</t>
  </si>
  <si>
    <t>Apple</t>
  </si>
  <si>
    <t>LG</t>
  </si>
  <si>
    <t>Canon</t>
  </si>
  <si>
    <t>Mikrotik</t>
  </si>
  <si>
    <t>Xiaomi</t>
  </si>
  <si>
    <t>AOC</t>
  </si>
  <si>
    <t>Brother</t>
  </si>
  <si>
    <t>Huawei</t>
  </si>
  <si>
    <t>Netgear</t>
  </si>
  <si>
    <t>dell</t>
  </si>
  <si>
    <t>Latitude 524</t>
  </si>
  <si>
    <t>ProBook 450</t>
  </si>
  <si>
    <t>ThinkCentre</t>
  </si>
  <si>
    <t>S24F350</t>
  </si>
  <si>
    <t>L3150</t>
  </si>
  <si>
    <t>RV340</t>
  </si>
  <si>
    <t>TL-SG1024</t>
  </si>
  <si>
    <t>VivoBook 15</t>
  </si>
  <si>
    <t xml:space="preserve"> iPad 9</t>
  </si>
  <si>
    <t>Galaxi S21</t>
  </si>
  <si>
    <t>EliteDesk 800</t>
  </si>
  <si>
    <t>27MK400H</t>
  </si>
  <si>
    <t>PIXMA G3110</t>
  </si>
  <si>
    <t>hAP ac2</t>
  </si>
  <si>
    <t>SG350</t>
  </si>
  <si>
    <t>Aspire 5</t>
  </si>
  <si>
    <t>Galaxy Tab A</t>
  </si>
  <si>
    <t>Redmi Note 11</t>
  </si>
  <si>
    <t>OptiPlex 7080</t>
  </si>
  <si>
    <t>24B1XHS</t>
  </si>
  <si>
    <t>HL-L2350DW</t>
  </si>
  <si>
    <t>WS5200</t>
  </si>
  <si>
    <t>GS308</t>
  </si>
  <si>
    <t>IdeaPad 3</t>
  </si>
  <si>
    <t>Fire HD 10</t>
  </si>
  <si>
    <t>iPhone 13</t>
  </si>
  <si>
    <t>ExpertCenter</t>
  </si>
  <si>
    <t>P2419H</t>
  </si>
  <si>
    <t>LaserJet M404</t>
  </si>
  <si>
    <t>Archer C6</t>
  </si>
  <si>
    <t>Activo</t>
  </si>
  <si>
    <t>Inactivo</t>
  </si>
  <si>
    <t>Mantenimiento</t>
  </si>
  <si>
    <t>ESTADO</t>
  </si>
  <si>
    <t>En Revision</t>
  </si>
  <si>
    <t>Etiqueta de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</si>
</sst>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alcChain" Target="calcChai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400050</xdr:colOff>
      <xdr:row>5</xdr:row>
      <xdr:rowOff>0</xdr:rowOff>
    </xdr:from>
    <xdr:to>
      <xdr:col>11</xdr:col>
      <xdr:colOff>704850</xdr:colOff>
      <xdr:row>18</xdr:row>
      <xdr:rowOff>47625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EQUIPO">
              <a:extLst>
                <a:ext uri="{FF2B5EF4-FFF2-40B4-BE49-F238E27FC236}">
                  <a16:creationId xmlns:a16="http://schemas.microsoft.com/office/drawing/2014/main" id="{F40F5754-F42A-4BDF-A6E5-63D7816C0E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9650" y="952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247650</xdr:colOff>
      <xdr:row>4</xdr:row>
      <xdr:rowOff>142875</xdr:rowOff>
    </xdr:from>
    <xdr:to>
      <xdr:col>14</xdr:col>
      <xdr:colOff>552450</xdr:colOff>
      <xdr:row>18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ESTADO">
              <a:extLst>
                <a:ext uri="{FF2B5EF4-FFF2-40B4-BE49-F238E27FC236}">
                  <a16:creationId xmlns:a16="http://schemas.microsoft.com/office/drawing/2014/main" id="{CACB6B7B-7131-4481-9232-1419DAECA3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63250" y="9048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QUIPO" xr10:uid="{C5DB644E-AE19-447E-92F2-A9EEA435FDEA}" sourceName="EQUIPO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" xr10:uid="{33435DE3-D360-457C-AB30-32DAEF8605E8}" sourceName="ESTADO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O" xr10:uid="{940C3590-B9B9-4652-85CE-483F5A616100}" cache="SegmentaciónDeDatos_EQUIPO" caption="EQUIPO" rowHeight="241300"/>
  <slicer name="ESTADO" xr10:uid="{1550F0F8-3B21-4290-898D-F9C1680244E2}" cache="SegmentaciónDeDatos_ESTADO" caption="ESTAD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2FA05-F505-46C1-AB1A-960168344094}" name="Inventario_Sistemas" displayName="Inventario_Sistemas" ref="D6:I36" totalsRowShown="0">
  <autoFilter ref="D6:I36" xr:uid="{9AB2FA05-F505-46C1-AB1A-960168344094}"/>
  <tableColumns count="6">
    <tableColumn id="1" xr3:uid="{22655B24-FAF8-45EA-B35C-D2227E4AA074}" name="ID"/>
    <tableColumn id="2" xr3:uid="{0659FA8C-7160-425F-BA01-49F5078402E9}" name="EQUIPO"/>
    <tableColumn id="3" xr3:uid="{0A8C5721-E637-42E6-ADF7-D7DF7EB2A4C4}" name="MARCA"/>
    <tableColumn id="4" xr3:uid="{76100100-BA2D-4E26-BEE8-E38AEDC12658}" name="MODELO"/>
    <tableColumn id="5" xr3:uid="{4327EB33-AFE1-4164-9E60-8C97F49F7831}" name="ESTADO"/>
    <tableColumn id="6" xr3:uid="{9A505156-BD93-4E18-AF38-493F291208F4}" name="Etiqueta de Inventario" dataDxfId="0">
      <calculatedColumnFormula>_xlfn.CONCAT(Inventario_Sistemas[[#This Row],[MARCA]], " ",Inventario_Sistemas[[#This Row],[ID]], " ",)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D2F9-93E9-41FA-9CF9-AECAF3DB4C2D}">
  <dimension ref="D6:I36"/>
  <sheetViews>
    <sheetView tabSelected="1" topLeftCell="A4" workbookViewId="0">
      <selection activeCell="D9" sqref="D9"/>
    </sheetView>
  </sheetViews>
  <sheetFormatPr baseColWidth="10" defaultRowHeight="15" x14ac:dyDescent="0.25"/>
  <cols>
    <col min="7" max="7" width="15.140625" customWidth="1"/>
    <col min="8" max="8" width="17.42578125" customWidth="1"/>
    <col min="9" max="9" width="22.28515625" customWidth="1"/>
  </cols>
  <sheetData>
    <row r="6" spans="4:9" x14ac:dyDescent="0.25">
      <c r="D6" t="s">
        <v>0</v>
      </c>
      <c r="E6" t="s">
        <v>31</v>
      </c>
      <c r="F6" t="s">
        <v>32</v>
      </c>
      <c r="G6" t="s">
        <v>33</v>
      </c>
      <c r="H6" t="s">
        <v>93</v>
      </c>
      <c r="I6" t="s">
        <v>95</v>
      </c>
    </row>
    <row r="7" spans="4:9" x14ac:dyDescent="0.25">
      <c r="D7" t="s">
        <v>1</v>
      </c>
      <c r="E7" t="s">
        <v>34</v>
      </c>
      <c r="F7" t="s">
        <v>42</v>
      </c>
      <c r="G7" t="s">
        <v>60</v>
      </c>
      <c r="H7" t="s">
        <v>90</v>
      </c>
      <c r="I7" t="str">
        <f>_xlfn.CONCAT(Inventario_Sistemas[[#This Row],[MARCA]], " ",Inventario_Sistemas[[#This Row],[ID]], " ",)</f>
        <v xml:space="preserve">Dell LAB1-001 </v>
      </c>
    </row>
    <row r="8" spans="4:9" x14ac:dyDescent="0.25">
      <c r="D8" t="s">
        <v>2</v>
      </c>
      <c r="E8" t="s">
        <v>34</v>
      </c>
      <c r="F8" t="s">
        <v>43</v>
      </c>
      <c r="G8" t="s">
        <v>61</v>
      </c>
      <c r="H8" t="s">
        <v>90</v>
      </c>
      <c r="I8" t="str">
        <f>_xlfn.CONCAT(Inventario_Sistemas[[#This Row],[MARCA]], " ",Inventario_Sistemas[[#This Row],[ID]], " ",)</f>
        <v xml:space="preserve">HP LAB1-002 </v>
      </c>
    </row>
    <row r="9" spans="4:9" x14ac:dyDescent="0.25">
      <c r="D9" t="s">
        <v>3</v>
      </c>
      <c r="E9" t="s">
        <v>35</v>
      </c>
      <c r="F9" t="s">
        <v>44</v>
      </c>
      <c r="G9" t="s">
        <v>62</v>
      </c>
      <c r="H9" t="s">
        <v>94</v>
      </c>
      <c r="I9" t="str">
        <f>_xlfn.CONCAT(Inventario_Sistemas[[#This Row],[MARCA]], " ",Inventario_Sistemas[[#This Row],[ID]], " ",)</f>
        <v xml:space="preserve">Lenovo LAB1-003 </v>
      </c>
    </row>
    <row r="10" spans="4:9" x14ac:dyDescent="0.25">
      <c r="D10" t="s">
        <v>4</v>
      </c>
      <c r="E10" t="s">
        <v>36</v>
      </c>
      <c r="F10" t="s">
        <v>45</v>
      </c>
      <c r="G10" t="s">
        <v>63</v>
      </c>
      <c r="H10" t="s">
        <v>90</v>
      </c>
      <c r="I10" t="str">
        <f>_xlfn.CONCAT(Inventario_Sistemas[[#This Row],[MARCA]], " ",Inventario_Sistemas[[#This Row],[ID]], " ",)</f>
        <v xml:space="preserve">Samsung LAB1-004 </v>
      </c>
    </row>
    <row r="11" spans="4:9" x14ac:dyDescent="0.25">
      <c r="D11" t="s">
        <v>5</v>
      </c>
      <c r="E11" t="s">
        <v>37</v>
      </c>
      <c r="F11" t="s">
        <v>46</v>
      </c>
      <c r="G11" t="s">
        <v>64</v>
      </c>
      <c r="H11" t="s">
        <v>92</v>
      </c>
      <c r="I11" t="str">
        <f>_xlfn.CONCAT(Inventario_Sistemas[[#This Row],[MARCA]], " ",Inventario_Sistemas[[#This Row],[ID]], " ",)</f>
        <v xml:space="preserve">Epson LAB1-005 </v>
      </c>
    </row>
    <row r="12" spans="4:9" x14ac:dyDescent="0.25">
      <c r="D12" t="s">
        <v>6</v>
      </c>
      <c r="E12" t="s">
        <v>38</v>
      </c>
      <c r="F12" t="s">
        <v>47</v>
      </c>
      <c r="G12" t="s">
        <v>65</v>
      </c>
      <c r="H12" t="s">
        <v>90</v>
      </c>
      <c r="I12" t="str">
        <f>_xlfn.CONCAT(Inventario_Sistemas[[#This Row],[MARCA]], " ",Inventario_Sistemas[[#This Row],[ID]], " ",)</f>
        <v xml:space="preserve">Cisco LAB1-006 </v>
      </c>
    </row>
    <row r="13" spans="4:9" x14ac:dyDescent="0.25">
      <c r="D13" t="s">
        <v>7</v>
      </c>
      <c r="E13" t="s">
        <v>39</v>
      </c>
      <c r="F13" t="s">
        <v>48</v>
      </c>
      <c r="G13" t="s">
        <v>66</v>
      </c>
      <c r="H13" t="s">
        <v>90</v>
      </c>
      <c r="I13" t="str">
        <f>_xlfn.CONCAT(Inventario_Sistemas[[#This Row],[MARCA]], " ",Inventario_Sistemas[[#This Row],[ID]], " ",)</f>
        <v xml:space="preserve">Tp-Limk LAB1-007 </v>
      </c>
    </row>
    <row r="14" spans="4:9" x14ac:dyDescent="0.25">
      <c r="D14" t="s">
        <v>8</v>
      </c>
      <c r="E14" t="s">
        <v>34</v>
      </c>
      <c r="F14" t="s">
        <v>49</v>
      </c>
      <c r="G14" t="s">
        <v>67</v>
      </c>
      <c r="H14" t="s">
        <v>90</v>
      </c>
      <c r="I14" t="str">
        <f>_xlfn.CONCAT(Inventario_Sistemas[[#This Row],[MARCA]], " ",Inventario_Sistemas[[#This Row],[ID]], " ",)</f>
        <v xml:space="preserve">Asus LAB1-008 </v>
      </c>
    </row>
    <row r="15" spans="4:9" x14ac:dyDescent="0.25">
      <c r="D15" t="s">
        <v>9</v>
      </c>
      <c r="E15" t="s">
        <v>40</v>
      </c>
      <c r="F15" t="s">
        <v>50</v>
      </c>
      <c r="G15" t="s">
        <v>68</v>
      </c>
      <c r="H15" t="s">
        <v>94</v>
      </c>
      <c r="I15" t="str">
        <f>_xlfn.CONCAT(Inventario_Sistemas[[#This Row],[MARCA]], " ",Inventario_Sistemas[[#This Row],[ID]], " ",)</f>
        <v xml:space="preserve">Apple LAB1-009 </v>
      </c>
    </row>
    <row r="16" spans="4:9" x14ac:dyDescent="0.25">
      <c r="D16" t="s">
        <v>10</v>
      </c>
      <c r="E16" t="s">
        <v>41</v>
      </c>
      <c r="F16" t="s">
        <v>45</v>
      </c>
      <c r="G16" t="s">
        <v>69</v>
      </c>
      <c r="H16" t="s">
        <v>91</v>
      </c>
      <c r="I16" t="str">
        <f>_xlfn.CONCAT(Inventario_Sistemas[[#This Row],[MARCA]], " ",Inventario_Sistemas[[#This Row],[ID]], " ",)</f>
        <v xml:space="preserve">Samsung LAB1-010 </v>
      </c>
    </row>
    <row r="17" spans="4:9" x14ac:dyDescent="0.25">
      <c r="D17" t="s">
        <v>11</v>
      </c>
      <c r="E17" t="s">
        <v>35</v>
      </c>
      <c r="F17" t="s">
        <v>43</v>
      </c>
      <c r="G17" t="s">
        <v>70</v>
      </c>
      <c r="H17" t="s">
        <v>90</v>
      </c>
      <c r="I17" t="str">
        <f>_xlfn.CONCAT(Inventario_Sistemas[[#This Row],[MARCA]], " ",Inventario_Sistemas[[#This Row],[ID]], " ",)</f>
        <v xml:space="preserve">HP LAB1-011 </v>
      </c>
    </row>
    <row r="18" spans="4:9" x14ac:dyDescent="0.25">
      <c r="D18" t="s">
        <v>12</v>
      </c>
      <c r="E18" t="s">
        <v>36</v>
      </c>
      <c r="F18" t="s">
        <v>51</v>
      </c>
      <c r="G18" t="s">
        <v>71</v>
      </c>
      <c r="H18" t="s">
        <v>90</v>
      </c>
      <c r="I18" t="str">
        <f>_xlfn.CONCAT(Inventario_Sistemas[[#This Row],[MARCA]], " ",Inventario_Sistemas[[#This Row],[ID]], " ",)</f>
        <v xml:space="preserve">LG LAB1-012 </v>
      </c>
    </row>
    <row r="19" spans="4:9" x14ac:dyDescent="0.25">
      <c r="D19" t="s">
        <v>13</v>
      </c>
      <c r="E19" t="s">
        <v>37</v>
      </c>
      <c r="F19" t="s">
        <v>52</v>
      </c>
      <c r="G19" t="s">
        <v>72</v>
      </c>
      <c r="H19" t="s">
        <v>90</v>
      </c>
      <c r="I19" t="str">
        <f>_xlfn.CONCAT(Inventario_Sistemas[[#This Row],[MARCA]], " ",Inventario_Sistemas[[#This Row],[ID]], " ",)</f>
        <v xml:space="preserve">Canon LAB1-013 </v>
      </c>
    </row>
    <row r="20" spans="4:9" x14ac:dyDescent="0.25">
      <c r="D20" t="s">
        <v>14</v>
      </c>
      <c r="E20" t="s">
        <v>38</v>
      </c>
      <c r="F20" t="s">
        <v>53</v>
      </c>
      <c r="G20" t="s">
        <v>73</v>
      </c>
      <c r="H20" t="s">
        <v>94</v>
      </c>
      <c r="I20" t="str">
        <f>_xlfn.CONCAT(Inventario_Sistemas[[#This Row],[MARCA]], " ",Inventario_Sistemas[[#This Row],[ID]], " ",)</f>
        <v xml:space="preserve">Mikrotik LAB1-014 </v>
      </c>
    </row>
    <row r="21" spans="4:9" x14ac:dyDescent="0.25">
      <c r="D21" t="s">
        <v>15</v>
      </c>
      <c r="E21" t="s">
        <v>39</v>
      </c>
      <c r="F21" t="s">
        <v>47</v>
      </c>
      <c r="G21" t="s">
        <v>74</v>
      </c>
      <c r="H21" t="s">
        <v>92</v>
      </c>
      <c r="I21" t="str">
        <f>_xlfn.CONCAT(Inventario_Sistemas[[#This Row],[MARCA]], " ",Inventario_Sistemas[[#This Row],[ID]], " ",)</f>
        <v xml:space="preserve">Cisco LAB1-015 </v>
      </c>
    </row>
    <row r="22" spans="4:9" x14ac:dyDescent="0.25">
      <c r="D22" t="s">
        <v>16</v>
      </c>
      <c r="E22" t="s">
        <v>34</v>
      </c>
      <c r="F22" t="s">
        <v>42</v>
      </c>
      <c r="G22" t="s">
        <v>75</v>
      </c>
      <c r="H22" t="s">
        <v>90</v>
      </c>
      <c r="I22" t="str">
        <f>_xlfn.CONCAT(Inventario_Sistemas[[#This Row],[MARCA]], " ",Inventario_Sistemas[[#This Row],[ID]], " ",)</f>
        <v xml:space="preserve">Dell LAB1-016 </v>
      </c>
    </row>
    <row r="23" spans="4:9" x14ac:dyDescent="0.25">
      <c r="D23" t="s">
        <v>17</v>
      </c>
      <c r="E23" t="s">
        <v>40</v>
      </c>
      <c r="F23" t="s">
        <v>43</v>
      </c>
      <c r="G23" t="s">
        <v>76</v>
      </c>
      <c r="H23" t="s">
        <v>90</v>
      </c>
      <c r="I23" t="str">
        <f>_xlfn.CONCAT(Inventario_Sistemas[[#This Row],[MARCA]], " ",Inventario_Sistemas[[#This Row],[ID]], " ",)</f>
        <v xml:space="preserve">HP LAB1-017 </v>
      </c>
    </row>
    <row r="24" spans="4:9" x14ac:dyDescent="0.25">
      <c r="D24" t="s">
        <v>18</v>
      </c>
      <c r="E24" t="s">
        <v>41</v>
      </c>
      <c r="F24" t="s">
        <v>54</v>
      </c>
      <c r="G24" t="s">
        <v>77</v>
      </c>
      <c r="H24" t="s">
        <v>90</v>
      </c>
      <c r="I24" t="str">
        <f>_xlfn.CONCAT(Inventario_Sistemas[[#This Row],[MARCA]], " ",Inventario_Sistemas[[#This Row],[ID]], " ",)</f>
        <v xml:space="preserve">Xiaomi LAB1-018 </v>
      </c>
    </row>
    <row r="25" spans="4:9" x14ac:dyDescent="0.25">
      <c r="D25" t="s">
        <v>19</v>
      </c>
      <c r="E25" t="s">
        <v>35</v>
      </c>
      <c r="F25" t="s">
        <v>42</v>
      </c>
      <c r="G25" t="s">
        <v>78</v>
      </c>
      <c r="H25" t="s">
        <v>90</v>
      </c>
      <c r="I25" t="str">
        <f>_xlfn.CONCAT(Inventario_Sistemas[[#This Row],[MARCA]], " ",Inventario_Sistemas[[#This Row],[ID]], " ",)</f>
        <v xml:space="preserve">Dell LAB1-019 </v>
      </c>
    </row>
    <row r="26" spans="4:9" x14ac:dyDescent="0.25">
      <c r="D26" t="s">
        <v>20</v>
      </c>
      <c r="E26" t="s">
        <v>36</v>
      </c>
      <c r="F26" t="s">
        <v>55</v>
      </c>
      <c r="G26" t="s">
        <v>79</v>
      </c>
      <c r="H26" t="s">
        <v>94</v>
      </c>
      <c r="I26" t="str">
        <f>_xlfn.CONCAT(Inventario_Sistemas[[#This Row],[MARCA]], " ",Inventario_Sistemas[[#This Row],[ID]], " ",)</f>
        <v xml:space="preserve">AOC LAB1-020 </v>
      </c>
    </row>
    <row r="27" spans="4:9" x14ac:dyDescent="0.25">
      <c r="D27" t="s">
        <v>21</v>
      </c>
      <c r="E27" t="s">
        <v>37</v>
      </c>
      <c r="F27" t="s">
        <v>56</v>
      </c>
      <c r="G27" t="s">
        <v>80</v>
      </c>
      <c r="H27" t="s">
        <v>90</v>
      </c>
      <c r="I27" t="str">
        <f>_xlfn.CONCAT(Inventario_Sistemas[[#This Row],[MARCA]], " ",Inventario_Sistemas[[#This Row],[ID]], " ",)</f>
        <v xml:space="preserve">Brother LAB1-021 </v>
      </c>
    </row>
    <row r="28" spans="4:9" x14ac:dyDescent="0.25">
      <c r="D28" t="s">
        <v>22</v>
      </c>
      <c r="E28" t="s">
        <v>38</v>
      </c>
      <c r="F28" t="s">
        <v>57</v>
      </c>
      <c r="G28" t="s">
        <v>81</v>
      </c>
      <c r="H28" t="s">
        <v>90</v>
      </c>
      <c r="I28" t="str">
        <f>_xlfn.CONCAT(Inventario_Sistemas[[#This Row],[MARCA]], " ",Inventario_Sistemas[[#This Row],[ID]], " ",)</f>
        <v xml:space="preserve">Huawei LAB1-022 </v>
      </c>
    </row>
    <row r="29" spans="4:9" x14ac:dyDescent="0.25">
      <c r="D29" t="s">
        <v>23</v>
      </c>
      <c r="E29" t="s">
        <v>39</v>
      </c>
      <c r="F29" t="s">
        <v>58</v>
      </c>
      <c r="G29" t="s">
        <v>82</v>
      </c>
      <c r="H29" t="s">
        <v>90</v>
      </c>
      <c r="I29" t="str">
        <f>_xlfn.CONCAT(Inventario_Sistemas[[#This Row],[MARCA]], " ",Inventario_Sistemas[[#This Row],[ID]], " ",)</f>
        <v xml:space="preserve">Netgear LAB1-023 </v>
      </c>
    </row>
    <row r="30" spans="4:9" x14ac:dyDescent="0.25">
      <c r="D30" t="s">
        <v>24</v>
      </c>
      <c r="E30" t="s">
        <v>34</v>
      </c>
      <c r="F30" t="s">
        <v>43</v>
      </c>
      <c r="G30" t="s">
        <v>83</v>
      </c>
      <c r="H30" t="s">
        <v>92</v>
      </c>
      <c r="I30" t="str">
        <f>_xlfn.CONCAT(Inventario_Sistemas[[#This Row],[MARCA]], " ",Inventario_Sistemas[[#This Row],[ID]], " ",)</f>
        <v xml:space="preserve">HP LAB1-024 </v>
      </c>
    </row>
    <row r="31" spans="4:9" x14ac:dyDescent="0.25">
      <c r="D31" t="s">
        <v>25</v>
      </c>
      <c r="E31" t="s">
        <v>40</v>
      </c>
      <c r="F31" t="s">
        <v>49</v>
      </c>
      <c r="G31" t="s">
        <v>84</v>
      </c>
      <c r="H31" t="s">
        <v>94</v>
      </c>
      <c r="I31" t="str">
        <f>_xlfn.CONCAT(Inventario_Sistemas[[#This Row],[MARCA]], " ",Inventario_Sistemas[[#This Row],[ID]], " ",)</f>
        <v xml:space="preserve">Asus LAB1-025 </v>
      </c>
    </row>
    <row r="32" spans="4:9" x14ac:dyDescent="0.25">
      <c r="D32" t="s">
        <v>26</v>
      </c>
      <c r="E32" t="s">
        <v>41</v>
      </c>
      <c r="F32" t="s">
        <v>50</v>
      </c>
      <c r="G32" t="s">
        <v>85</v>
      </c>
      <c r="H32" t="s">
        <v>90</v>
      </c>
      <c r="I32" t="str">
        <f>_xlfn.CONCAT(Inventario_Sistemas[[#This Row],[MARCA]], " ",Inventario_Sistemas[[#This Row],[ID]], " ",)</f>
        <v xml:space="preserve">Apple LAB1-026 </v>
      </c>
    </row>
    <row r="33" spans="4:9" x14ac:dyDescent="0.25">
      <c r="D33" t="s">
        <v>27</v>
      </c>
      <c r="E33" t="s">
        <v>35</v>
      </c>
      <c r="F33" t="s">
        <v>49</v>
      </c>
      <c r="G33" t="s">
        <v>86</v>
      </c>
      <c r="H33" t="s">
        <v>90</v>
      </c>
      <c r="I33" t="str">
        <f>_xlfn.CONCAT(Inventario_Sistemas[[#This Row],[MARCA]], " ",Inventario_Sistemas[[#This Row],[ID]], " ",)</f>
        <v xml:space="preserve">Asus LAB1-027 </v>
      </c>
    </row>
    <row r="34" spans="4:9" x14ac:dyDescent="0.25">
      <c r="D34" t="s">
        <v>28</v>
      </c>
      <c r="E34" t="s">
        <v>36</v>
      </c>
      <c r="F34" t="s">
        <v>51</v>
      </c>
      <c r="G34" t="s">
        <v>87</v>
      </c>
      <c r="H34" t="s">
        <v>94</v>
      </c>
      <c r="I34" t="str">
        <f>_xlfn.CONCAT(Inventario_Sistemas[[#This Row],[MARCA]], " ",Inventario_Sistemas[[#This Row],[ID]], " ",)</f>
        <v xml:space="preserve">LG LAB1-028 </v>
      </c>
    </row>
    <row r="35" spans="4:9" x14ac:dyDescent="0.25">
      <c r="D35" t="s">
        <v>29</v>
      </c>
      <c r="E35" t="s">
        <v>37</v>
      </c>
      <c r="F35" t="s">
        <v>46</v>
      </c>
      <c r="G35" t="s">
        <v>88</v>
      </c>
      <c r="H35" t="s">
        <v>91</v>
      </c>
      <c r="I35" t="str">
        <f>_xlfn.CONCAT(Inventario_Sistemas[[#This Row],[MARCA]], " ",Inventario_Sistemas[[#This Row],[ID]], " ",)</f>
        <v xml:space="preserve">Epson LAB1-029 </v>
      </c>
    </row>
    <row r="36" spans="4:9" x14ac:dyDescent="0.25">
      <c r="D36" t="s">
        <v>30</v>
      </c>
      <c r="E36" t="s">
        <v>38</v>
      </c>
      <c r="F36" t="s">
        <v>59</v>
      </c>
      <c r="G36" t="s">
        <v>89</v>
      </c>
      <c r="H36" t="s">
        <v>90</v>
      </c>
      <c r="I36" t="str">
        <f>_xlfn.CONCAT(Inventario_Sistemas[[#This Row],[MARCA]], " ",Inventario_Sistemas[[#This Row],[ID]], " ",)</f>
        <v xml:space="preserve">dell LAB1-030 </v>
      </c>
    </row>
  </sheetData>
  <phoneticPr fontId="1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LABA1-PC10</dc:creator>
  <cp:lastModifiedBy>LABA1-PC10</cp:lastModifiedBy>
  <dcterms:created xsi:type="dcterms:W3CDTF">2026-04-28T12:28:55Z</dcterms:created>
  <dcterms:modified xsi:type="dcterms:W3CDTF">2026-04-28T13:08:58Z</dcterms:modified>
</cp:coreProperties>
</file>